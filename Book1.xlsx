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7F1E25F-8825-47F4-B901-B5729EB84988}" xr6:coauthVersionLast="47" xr6:coauthVersionMax="47" xr10:uidLastSave="{00000000-0000-0000-0000-000000000000}"/>
  <bookViews>
    <workbookView xWindow="-108" yWindow="-108" windowWidth="23256" windowHeight="12456" activeTab="2" xr2:uid="{D0796C38-4531-4796-B204-214C5044F1F6}"/>
  </bookViews>
  <sheets>
    <sheet name="DAY1" sheetId="1" r:id="rId1"/>
    <sheet name="DAY2" sheetId="2" r:id="rId2"/>
    <sheet name="SheetNew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3" l="1"/>
  <c r="D18" i="3"/>
  <c r="D19" i="3"/>
  <c r="D20" i="3"/>
  <c r="D21" i="3"/>
  <c r="G11" i="3"/>
  <c r="G10" i="3"/>
  <c r="G9" i="3"/>
  <c r="G8" i="3"/>
  <c r="G7" i="3"/>
  <c r="G6" i="3"/>
  <c r="G5" i="3"/>
  <c r="G4" i="3"/>
  <c r="G3" i="3"/>
  <c r="G2" i="3"/>
  <c r="G11" i="2"/>
  <c r="G10" i="2"/>
  <c r="G9" i="2"/>
  <c r="G8" i="2"/>
  <c r="G7" i="2"/>
  <c r="G6" i="2"/>
  <c r="G5" i="2"/>
  <c r="G4" i="2"/>
  <c r="G3" i="2"/>
  <c r="G2" i="2"/>
  <c r="D24" i="2"/>
  <c r="D23" i="2"/>
  <c r="D22" i="2"/>
  <c r="D21" i="2"/>
  <c r="D20" i="2"/>
</calcChain>
</file>

<file path=xl/sharedStrings.xml><?xml version="1.0" encoding="utf-8"?>
<sst xmlns="http://schemas.openxmlformats.org/spreadsheetml/2006/main" count="93" uniqueCount="53">
  <si>
    <t xml:space="preserve">Name </t>
  </si>
  <si>
    <t>Abhay</t>
  </si>
  <si>
    <t>Sanjay</t>
  </si>
  <si>
    <t>Abhishek</t>
  </si>
  <si>
    <t>Shudhanshu</t>
  </si>
  <si>
    <t>Adarsh</t>
  </si>
  <si>
    <t>Branch</t>
  </si>
  <si>
    <t>CSE(DS)</t>
  </si>
  <si>
    <t>Roll No.</t>
  </si>
  <si>
    <t>Utsav</t>
  </si>
  <si>
    <t>Ram</t>
  </si>
  <si>
    <t>Mobile No</t>
  </si>
  <si>
    <t>Student Name</t>
  </si>
  <si>
    <t>Student ID</t>
  </si>
  <si>
    <t>Course</t>
  </si>
  <si>
    <t>Fees</t>
  </si>
  <si>
    <t>Discount %</t>
  </si>
  <si>
    <t>Neetu</t>
  </si>
  <si>
    <t>Data Analytics</t>
  </si>
  <si>
    <t>Rahul</t>
  </si>
  <si>
    <t>Python</t>
  </si>
  <si>
    <t>Priya</t>
  </si>
  <si>
    <t>Java</t>
  </si>
  <si>
    <t>Aman</t>
  </si>
  <si>
    <t>MERN</t>
  </si>
  <si>
    <t>Riya</t>
  </si>
  <si>
    <t>Mohit</t>
  </si>
  <si>
    <t>Sneha</t>
  </si>
  <si>
    <t>Arjun</t>
  </si>
  <si>
    <t>Pooja</t>
  </si>
  <si>
    <t>Vivek</t>
  </si>
  <si>
    <t>Date</t>
  </si>
  <si>
    <t>Sum</t>
  </si>
  <si>
    <t>Average</t>
  </si>
  <si>
    <t>Count</t>
  </si>
  <si>
    <t>Max</t>
  </si>
  <si>
    <t>Min</t>
  </si>
  <si>
    <t>Formula</t>
  </si>
  <si>
    <t>Total</t>
  </si>
  <si>
    <t>Running Total</t>
  </si>
  <si>
    <t>After Discount%</t>
  </si>
  <si>
    <t>Seema</t>
  </si>
  <si>
    <t>Karan</t>
  </si>
  <si>
    <t xml:space="preserve">Mohan </t>
  </si>
  <si>
    <t xml:space="preserve">Kishna </t>
  </si>
  <si>
    <t>Raman</t>
  </si>
  <si>
    <t>B Tech(CSE)</t>
  </si>
  <si>
    <t>B Tech(IT)</t>
  </si>
  <si>
    <t>B Tech(Ml)</t>
  </si>
  <si>
    <t>Result</t>
  </si>
  <si>
    <t>Column1</t>
  </si>
  <si>
    <t>Column2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</si>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</sst>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3">
    <xf numFmtId="0" fontId="0" fillId="0" borderId="0"/>
    <xf numFmtId="0" fontId="3" fillId="6" borderId="1" applyNumberFormat="0" applyAlignment="0" applyProtection="0"/>
    <xf numFmtId="0" fontId="2" fillId="7" borderId="0" applyNumberFormat="0" applyBorder="0" applyAlignment="0" applyProtection="0"/>
  </cellStyleXfs>
  <cellXfs count="31">
    <xf numFmtId="0" fontId="0" fillId="0" borderId="0" xfId="0"/>
    <xf numFmtId="0" fontId="0" fillId="3" borderId="0" xfId="0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0" xfId="0" applyFont="1" applyFill="1"/>
    <xf numFmtId="0" fontId="1" fillId="5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8" borderId="0" xfId="0" applyFill="1"/>
    <xf numFmtId="166" fontId="0" fillId="0" borderId="0" xfId="0" applyNumberFormat="1"/>
    <xf numFmtId="0" fontId="3" fillId="6" borderId="1" xfId="1"/>
    <xf numFmtId="166" fontId="3" fillId="6" borderId="1" xfId="1" applyNumberFormat="1"/>
    <xf numFmtId="9" fontId="3" fillId="6" borderId="1" xfId="1" applyNumberFormat="1"/>
    <xf numFmtId="14" fontId="3" fillId="6" borderId="1" xfId="1" applyNumberFormat="1"/>
    <xf numFmtId="0" fontId="3" fillId="8" borderId="1" xfId="1" applyFill="1"/>
    <xf numFmtId="0" fontId="3" fillId="8" borderId="1" xfId="1" applyFill="1" applyAlignment="1">
      <alignment horizontal="left"/>
    </xf>
    <xf numFmtId="166" fontId="3" fillId="8" borderId="1" xfId="1" applyNumberFormat="1" applyFill="1"/>
    <xf numFmtId="0" fontId="3" fillId="9" borderId="1" xfId="1" applyFill="1" applyAlignment="1">
      <alignment horizontal="center"/>
    </xf>
    <xf numFmtId="0" fontId="2" fillId="7" borderId="2" xfId="2" applyBorder="1"/>
    <xf numFmtId="0" fontId="2" fillId="7" borderId="2" xfId="2" applyBorder="1" applyAlignment="1">
      <alignment horizontal="center"/>
    </xf>
    <xf numFmtId="166" fontId="2" fillId="7" borderId="2" xfId="2" applyNumberFormat="1" applyBorder="1"/>
    <xf numFmtId="14" fontId="2" fillId="7" borderId="2" xfId="2" applyNumberFormat="1" applyBorder="1"/>
    <xf numFmtId="9" fontId="2" fillId="7" borderId="2" xfId="2" applyNumberFormat="1" applyBorder="1"/>
    <xf numFmtId="0" fontId="3" fillId="10" borderId="3" xfId="1" applyFill="1" applyBorder="1"/>
    <xf numFmtId="0" fontId="0" fillId="0" borderId="0" xfId="0" quotePrefix="1"/>
  </cellXfs>
  <cellStyles count="3">
    <cellStyle name="20% - Accent1" xfId="2" builtinId="30"/>
    <cellStyle name="Normal" xfId="0" builtinId="0"/>
    <cellStyle name="Output" xfId="1" builtinId="21"/>
  </cellStyles>
  <dxfs count="2">
    <dxf>
      <numFmt numFmtId="166" formatCode="&quot;₹&quot;\ #,##0.00"/>
    </dxf>
    <dxf>
      <border outline="0">
        <top style="thin">
          <color rgb="FF3F3F3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475A97-338F-45DD-9456-15E44F73A145}" name="Table2" displayName="Table2" ref="C16:D21" totalsRowShown="0" tableBorderDxfId="1">
  <autoFilter ref="C16:D21" xr:uid="{3E475A97-338F-45DD-9456-15E44F73A145}"/>
  <tableColumns count="2">
    <tableColumn id="1" xr3:uid="{9EC25CB6-82DE-4919-9AB9-833DBDC6535A}" name="Column1"/>
    <tableColumn id="2" xr3:uid="{8834339D-ED6D-4D7E-AA46-8F474F1ADEFE}" name="Column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5403-4F7D-46F1-8439-908C6F625A2D}">
  <dimension ref="A1:G11"/>
  <sheetViews>
    <sheetView workbookViewId="0">
      <selection activeCell="D11" sqref="D11"/>
    </sheetView>
  </sheetViews>
  <sheetFormatPr defaultRowHeight="14.4" x14ac:dyDescent="0.3"/>
  <cols>
    <col min="3" max="3" width="11.6640625" bestFit="1" customWidth="1"/>
  </cols>
  <sheetData>
    <row r="1" spans="1:7" x14ac:dyDescent="0.3">
      <c r="A1" s="12" t="s">
        <v>0</v>
      </c>
      <c r="B1" s="12"/>
      <c r="C1" s="12" t="s">
        <v>11</v>
      </c>
      <c r="D1" s="12"/>
      <c r="E1" s="12" t="s">
        <v>6</v>
      </c>
      <c r="F1" s="12"/>
      <c r="G1" s="3" t="s">
        <v>8</v>
      </c>
    </row>
    <row r="2" spans="1:7" s="1" customFormat="1" x14ac:dyDescent="0.3">
      <c r="A2" s="13" t="s">
        <v>1</v>
      </c>
      <c r="B2" s="13"/>
      <c r="C2" s="13">
        <v>7845145265</v>
      </c>
      <c r="D2" s="13"/>
      <c r="E2" s="13" t="s">
        <v>7</v>
      </c>
      <c r="F2" s="13"/>
      <c r="G2" s="4">
        <v>1</v>
      </c>
    </row>
    <row r="3" spans="1:7" x14ac:dyDescent="0.3">
      <c r="A3" s="9" t="s">
        <v>2</v>
      </c>
      <c r="B3" s="9"/>
      <c r="C3" s="9">
        <v>4879562357</v>
      </c>
      <c r="D3" s="9"/>
      <c r="E3" s="9" t="s">
        <v>7</v>
      </c>
      <c r="F3" s="9"/>
      <c r="G3" s="6">
        <v>2</v>
      </c>
    </row>
    <row r="4" spans="1:7" s="1" customFormat="1" x14ac:dyDescent="0.3">
      <c r="A4" s="10" t="s">
        <v>3</v>
      </c>
      <c r="B4" s="10"/>
      <c r="C4" s="10">
        <v>7856245262</v>
      </c>
      <c r="D4" s="10"/>
      <c r="E4" s="10" t="s">
        <v>7</v>
      </c>
      <c r="F4" s="10"/>
      <c r="G4" s="7">
        <v>3</v>
      </c>
    </row>
    <row r="5" spans="1:7" x14ac:dyDescent="0.3">
      <c r="A5" s="9" t="s">
        <v>5</v>
      </c>
      <c r="B5" s="9"/>
      <c r="C5" s="9">
        <v>956956596</v>
      </c>
      <c r="D5" s="9"/>
      <c r="E5" s="9" t="s">
        <v>7</v>
      </c>
      <c r="F5" s="9"/>
      <c r="G5" s="6">
        <v>4</v>
      </c>
    </row>
    <row r="6" spans="1:7" x14ac:dyDescent="0.3">
      <c r="A6" s="9" t="s">
        <v>4</v>
      </c>
      <c r="B6" s="9"/>
      <c r="C6" s="9">
        <v>5256656</v>
      </c>
      <c r="D6" s="9"/>
      <c r="E6" s="9" t="s">
        <v>7</v>
      </c>
      <c r="F6" s="9"/>
      <c r="G6" s="6">
        <v>5</v>
      </c>
    </row>
    <row r="7" spans="1:7" x14ac:dyDescent="0.3">
      <c r="A7" s="9" t="s">
        <v>9</v>
      </c>
      <c r="B7" s="9"/>
      <c r="C7" s="9">
        <v>6556565656</v>
      </c>
      <c r="D7" s="9"/>
      <c r="E7" s="9" t="s">
        <v>7</v>
      </c>
      <c r="F7" s="9"/>
      <c r="G7" s="6">
        <v>6</v>
      </c>
    </row>
    <row r="8" spans="1:7" x14ac:dyDescent="0.3">
      <c r="A8" s="9"/>
      <c r="B8" s="9"/>
      <c r="C8" s="5"/>
      <c r="D8" s="5"/>
      <c r="E8" s="6"/>
      <c r="F8" s="5"/>
      <c r="G8" s="6"/>
    </row>
    <row r="9" spans="1:7" x14ac:dyDescent="0.3">
      <c r="A9" s="11" t="s">
        <v>10</v>
      </c>
      <c r="B9" s="11"/>
      <c r="C9" s="11">
        <v>9855755578</v>
      </c>
      <c r="D9" s="11"/>
      <c r="E9" s="9" t="s">
        <v>7</v>
      </c>
      <c r="F9" s="9"/>
      <c r="G9" s="8">
        <v>7</v>
      </c>
    </row>
    <row r="11" spans="1:7" x14ac:dyDescent="0.3">
      <c r="A11" s="2"/>
    </row>
  </sheetData>
  <mergeCells count="25">
    <mergeCell ref="E1:F1"/>
    <mergeCell ref="E2:F2"/>
    <mergeCell ref="E3:F3"/>
    <mergeCell ref="E4:F4"/>
    <mergeCell ref="E5:F5"/>
    <mergeCell ref="C1:D1"/>
    <mergeCell ref="C9:D9"/>
    <mergeCell ref="C2:D2"/>
    <mergeCell ref="C3:D3"/>
    <mergeCell ref="A7:B7"/>
    <mergeCell ref="C5:D5"/>
    <mergeCell ref="C7:D7"/>
    <mergeCell ref="A1:B1"/>
    <mergeCell ref="A2:B2"/>
    <mergeCell ref="A3:B3"/>
    <mergeCell ref="A4:B4"/>
    <mergeCell ref="A5:B5"/>
    <mergeCell ref="A6:B6"/>
    <mergeCell ref="C6:D6"/>
    <mergeCell ref="C4:D4"/>
    <mergeCell ref="A8:B8"/>
    <mergeCell ref="A9:B9"/>
    <mergeCell ref="E9:F9"/>
    <mergeCell ref="E6:F6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EB19-FF17-4DEB-B094-028AD2D6A0A1}">
  <dimension ref="A1:I24"/>
  <sheetViews>
    <sheetView workbookViewId="0">
      <selection activeCell="H23" sqref="H23"/>
    </sheetView>
  </sheetViews>
  <sheetFormatPr defaultRowHeight="14.4" x14ac:dyDescent="0.3"/>
  <cols>
    <col min="1" max="1" width="10.5546875" customWidth="1"/>
    <col min="2" max="2" width="13.33203125" customWidth="1"/>
    <col min="3" max="3" width="13.6640625" customWidth="1"/>
    <col min="4" max="4" width="10.44140625" bestFit="1" customWidth="1"/>
    <col min="5" max="5" width="11.6640625" customWidth="1"/>
    <col min="6" max="6" width="10.33203125" bestFit="1" customWidth="1"/>
    <col min="7" max="7" width="17.88671875" customWidth="1"/>
  </cols>
  <sheetData>
    <row r="1" spans="1:9" s="14" customFormat="1" ht="28.2" customHeight="1" x14ac:dyDescent="0.3">
      <c r="A1" s="20" t="s">
        <v>13</v>
      </c>
      <c r="B1" s="20" t="s">
        <v>12</v>
      </c>
      <c r="C1" s="21" t="s">
        <v>14</v>
      </c>
      <c r="D1" s="22" t="s">
        <v>15</v>
      </c>
      <c r="E1" s="20" t="s">
        <v>16</v>
      </c>
      <c r="F1" s="20" t="s">
        <v>31</v>
      </c>
      <c r="G1" s="20" t="s">
        <v>40</v>
      </c>
    </row>
    <row r="2" spans="1:9" x14ac:dyDescent="0.3">
      <c r="A2" s="16">
        <v>101</v>
      </c>
      <c r="B2" s="16" t="s">
        <v>17</v>
      </c>
      <c r="C2" s="16" t="s">
        <v>18</v>
      </c>
      <c r="D2" s="17">
        <v>25000</v>
      </c>
      <c r="E2" s="18">
        <v>0.1</v>
      </c>
      <c r="F2" s="19">
        <v>46152</v>
      </c>
      <c r="G2" s="16">
        <f>(25000*10)/100</f>
        <v>2500</v>
      </c>
      <c r="I2" s="15"/>
    </row>
    <row r="3" spans="1:9" x14ac:dyDescent="0.3">
      <c r="A3" s="16">
        <v>102</v>
      </c>
      <c r="B3" s="16" t="s">
        <v>19</v>
      </c>
      <c r="C3" s="16" t="s">
        <v>20</v>
      </c>
      <c r="D3" s="17">
        <v>22000</v>
      </c>
      <c r="E3" s="18">
        <v>0.1</v>
      </c>
      <c r="F3" s="19">
        <v>46153</v>
      </c>
      <c r="G3" s="16">
        <f>(22000*10)/100</f>
        <v>2200</v>
      </c>
    </row>
    <row r="4" spans="1:9" x14ac:dyDescent="0.3">
      <c r="A4" s="16">
        <v>103</v>
      </c>
      <c r="B4" s="16" t="s">
        <v>21</v>
      </c>
      <c r="C4" s="16" t="s">
        <v>22</v>
      </c>
      <c r="D4" s="17">
        <v>21000</v>
      </c>
      <c r="E4" s="18">
        <v>0.1</v>
      </c>
      <c r="F4" s="19">
        <v>46154</v>
      </c>
      <c r="G4" s="16">
        <f>(21000*10)/100</f>
        <v>2100</v>
      </c>
    </row>
    <row r="5" spans="1:9" x14ac:dyDescent="0.3">
      <c r="A5" s="16">
        <v>104</v>
      </c>
      <c r="B5" s="16" t="s">
        <v>23</v>
      </c>
      <c r="C5" s="16" t="s">
        <v>24</v>
      </c>
      <c r="D5" s="17">
        <v>28000</v>
      </c>
      <c r="E5" s="18">
        <v>0.1</v>
      </c>
      <c r="F5" s="19">
        <v>46155</v>
      </c>
      <c r="G5" s="16">
        <f>(28000*10)/100</f>
        <v>2800</v>
      </c>
    </row>
    <row r="6" spans="1:9" x14ac:dyDescent="0.3">
      <c r="A6" s="16">
        <v>105</v>
      </c>
      <c r="B6" s="16" t="s">
        <v>25</v>
      </c>
      <c r="C6" s="16" t="s">
        <v>18</v>
      </c>
      <c r="D6" s="17">
        <v>25000</v>
      </c>
      <c r="E6" s="18">
        <v>0.1</v>
      </c>
      <c r="F6" s="19">
        <v>46156</v>
      </c>
      <c r="G6" s="16">
        <f>(25000*10)/100</f>
        <v>2500</v>
      </c>
    </row>
    <row r="7" spans="1:9" x14ac:dyDescent="0.3">
      <c r="A7" s="16">
        <v>106</v>
      </c>
      <c r="B7" s="16" t="s">
        <v>26</v>
      </c>
      <c r="C7" s="16" t="s">
        <v>20</v>
      </c>
      <c r="D7" s="17">
        <v>24000</v>
      </c>
      <c r="E7" s="18">
        <v>0.1</v>
      </c>
      <c r="F7" s="19">
        <v>46157</v>
      </c>
      <c r="G7" s="16">
        <f>(24000*10)/100</f>
        <v>2400</v>
      </c>
    </row>
    <row r="8" spans="1:9" x14ac:dyDescent="0.3">
      <c r="A8" s="16">
        <v>107</v>
      </c>
      <c r="B8" s="16" t="s">
        <v>27</v>
      </c>
      <c r="C8" s="16" t="s">
        <v>22</v>
      </c>
      <c r="D8" s="17">
        <v>21500</v>
      </c>
      <c r="E8" s="18">
        <v>0.1</v>
      </c>
      <c r="F8" s="19">
        <v>46158</v>
      </c>
      <c r="G8" s="16">
        <f>(21500*10)/100</f>
        <v>2150</v>
      </c>
    </row>
    <row r="9" spans="1:9" x14ac:dyDescent="0.3">
      <c r="A9" s="16">
        <v>108</v>
      </c>
      <c r="B9" s="16" t="s">
        <v>28</v>
      </c>
      <c r="C9" s="16" t="s">
        <v>24</v>
      </c>
      <c r="D9" s="17">
        <v>30000</v>
      </c>
      <c r="E9" s="18">
        <v>0.1</v>
      </c>
      <c r="F9" s="19">
        <v>46159</v>
      </c>
      <c r="G9" s="16">
        <f>(30000*10)/100</f>
        <v>3000</v>
      </c>
    </row>
    <row r="10" spans="1:9" x14ac:dyDescent="0.3">
      <c r="A10" s="16">
        <v>109</v>
      </c>
      <c r="B10" s="16" t="s">
        <v>29</v>
      </c>
      <c r="C10" s="16" t="s">
        <v>18</v>
      </c>
      <c r="D10" s="17">
        <v>26000</v>
      </c>
      <c r="E10" s="18">
        <v>0.1</v>
      </c>
      <c r="F10" s="19">
        <v>46160</v>
      </c>
      <c r="G10" s="16">
        <f>(26000*10)/100</f>
        <v>2600</v>
      </c>
    </row>
    <row r="11" spans="1:9" x14ac:dyDescent="0.3">
      <c r="A11" s="16">
        <v>110</v>
      </c>
      <c r="B11" s="16" t="s">
        <v>30</v>
      </c>
      <c r="C11" s="16" t="s">
        <v>20</v>
      </c>
      <c r="D11" s="17">
        <v>23000</v>
      </c>
      <c r="E11" s="18">
        <v>0.1</v>
      </c>
      <c r="F11" s="19">
        <v>46161</v>
      </c>
      <c r="G11" s="16">
        <f>(23000*10)/100</f>
        <v>2300</v>
      </c>
    </row>
    <row r="19" spans="3:4" x14ac:dyDescent="0.3">
      <c r="C19" s="16" t="s">
        <v>37</v>
      </c>
      <c r="D19" s="16" t="s">
        <v>38</v>
      </c>
    </row>
    <row r="20" spans="3:4" x14ac:dyDescent="0.3">
      <c r="C20" s="16" t="s">
        <v>32</v>
      </c>
      <c r="D20" s="16">
        <f>SUM(D2:D11)</f>
        <v>245500</v>
      </c>
    </row>
    <row r="21" spans="3:4" x14ac:dyDescent="0.3">
      <c r="C21" s="16" t="s">
        <v>33</v>
      </c>
      <c r="D21" s="16">
        <f>AVERAGE(D2:D11)</f>
        <v>24550</v>
      </c>
    </row>
    <row r="22" spans="3:4" x14ac:dyDescent="0.3">
      <c r="C22" s="16" t="s">
        <v>34</v>
      </c>
      <c r="D22" s="16">
        <f>COUNT(D2:D11)</f>
        <v>10</v>
      </c>
    </row>
    <row r="23" spans="3:4" x14ac:dyDescent="0.3">
      <c r="C23" s="16" t="s">
        <v>35</v>
      </c>
      <c r="D23" s="16">
        <f>MAX(D2:D11)</f>
        <v>30000</v>
      </c>
    </row>
    <row r="24" spans="3:4" x14ac:dyDescent="0.3">
      <c r="C24" s="16" t="s">
        <v>36</v>
      </c>
      <c r="D24" s="16">
        <f>MIN(D2:D11)</f>
        <v>21000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E59D-5075-45B6-8E2F-1B4EE661935E}">
  <dimension ref="A1:K22"/>
  <sheetViews>
    <sheetView tabSelected="1" workbookViewId="0">
      <selection activeCell="K22" sqref="K22"/>
    </sheetView>
  </sheetViews>
  <sheetFormatPr defaultRowHeight="14.4" x14ac:dyDescent="0.3"/>
  <cols>
    <col min="1" max="1" width="14.5546875" customWidth="1"/>
    <col min="2" max="2" width="17.109375" customWidth="1"/>
    <col min="3" max="3" width="12.109375" customWidth="1"/>
    <col min="4" max="4" width="11.88671875" bestFit="1" customWidth="1"/>
    <col min="5" max="5" width="10.33203125" bestFit="1" customWidth="1"/>
    <col min="6" max="6" width="11" customWidth="1"/>
    <col min="7" max="7" width="15.44140625" customWidth="1"/>
  </cols>
  <sheetData>
    <row r="1" spans="1:7" ht="15" thickBot="1" x14ac:dyDescent="0.35">
      <c r="A1" s="23" t="s">
        <v>13</v>
      </c>
      <c r="B1" s="23" t="s">
        <v>12</v>
      </c>
      <c r="C1" s="23" t="s">
        <v>14</v>
      </c>
      <c r="D1" s="23" t="s">
        <v>15</v>
      </c>
      <c r="E1" s="23" t="s">
        <v>31</v>
      </c>
      <c r="F1" s="23" t="s">
        <v>16</v>
      </c>
      <c r="G1" s="23" t="s">
        <v>40</v>
      </c>
    </row>
    <row r="2" spans="1:7" ht="15.6" thickTop="1" thickBot="1" x14ac:dyDescent="0.35">
      <c r="A2" s="24">
        <v>501</v>
      </c>
      <c r="B2" s="25" t="s">
        <v>1</v>
      </c>
      <c r="C2" s="24" t="s">
        <v>46</v>
      </c>
      <c r="D2" s="26">
        <v>25000</v>
      </c>
      <c r="E2" s="27">
        <v>46078</v>
      </c>
      <c r="F2" s="28">
        <v>0.1</v>
      </c>
      <c r="G2" s="26">
        <f>25000*10/100</f>
        <v>2500</v>
      </c>
    </row>
    <row r="3" spans="1:7" ht="15.6" thickTop="1" thickBot="1" x14ac:dyDescent="0.35">
      <c r="A3" s="24">
        <v>502</v>
      </c>
      <c r="B3" s="25" t="s">
        <v>3</v>
      </c>
      <c r="C3" s="24" t="s">
        <v>47</v>
      </c>
      <c r="D3" s="26">
        <v>26000</v>
      </c>
      <c r="E3" s="27">
        <v>46079</v>
      </c>
      <c r="F3" s="28">
        <v>0.2</v>
      </c>
      <c r="G3" s="26">
        <f>26000*20/100</f>
        <v>5200</v>
      </c>
    </row>
    <row r="4" spans="1:7" ht="15.6" thickTop="1" thickBot="1" x14ac:dyDescent="0.35">
      <c r="A4" s="24">
        <v>503</v>
      </c>
      <c r="B4" s="25" t="s">
        <v>2</v>
      </c>
      <c r="C4" s="24" t="s">
        <v>48</v>
      </c>
      <c r="D4" s="26">
        <v>27000</v>
      </c>
      <c r="E4" s="27">
        <v>46080</v>
      </c>
      <c r="F4" s="28">
        <v>0.3</v>
      </c>
      <c r="G4" s="26">
        <f>27000*30/100</f>
        <v>8100</v>
      </c>
    </row>
    <row r="5" spans="1:7" ht="15.6" thickTop="1" thickBot="1" x14ac:dyDescent="0.35">
      <c r="A5" s="24">
        <v>504</v>
      </c>
      <c r="B5" s="25" t="s">
        <v>10</v>
      </c>
      <c r="C5" s="24" t="s">
        <v>46</v>
      </c>
      <c r="D5" s="26">
        <v>28000</v>
      </c>
      <c r="E5" s="27">
        <v>46081</v>
      </c>
      <c r="F5" s="28">
        <v>0.4</v>
      </c>
      <c r="G5" s="26">
        <f>28000*40/100</f>
        <v>11200</v>
      </c>
    </row>
    <row r="6" spans="1:7" ht="15.6" thickTop="1" thickBot="1" x14ac:dyDescent="0.35">
      <c r="A6" s="24">
        <v>505</v>
      </c>
      <c r="B6" s="25" t="s">
        <v>41</v>
      </c>
      <c r="C6" s="24" t="s">
        <v>47</v>
      </c>
      <c r="D6" s="26">
        <v>29000</v>
      </c>
      <c r="E6" s="27">
        <v>46082</v>
      </c>
      <c r="F6" s="28">
        <v>0.5</v>
      </c>
      <c r="G6" s="26">
        <f>29000*50/100</f>
        <v>14500</v>
      </c>
    </row>
    <row r="7" spans="1:7" ht="15.6" thickTop="1" thickBot="1" x14ac:dyDescent="0.35">
      <c r="A7" s="24">
        <v>506</v>
      </c>
      <c r="B7" s="25" t="s">
        <v>42</v>
      </c>
      <c r="C7" s="24" t="s">
        <v>48</v>
      </c>
      <c r="D7" s="26">
        <v>30000</v>
      </c>
      <c r="E7" s="27">
        <v>46083</v>
      </c>
      <c r="F7" s="28">
        <v>0.55000000000000004</v>
      </c>
      <c r="G7" s="26">
        <f>30000*55/100</f>
        <v>16500</v>
      </c>
    </row>
    <row r="8" spans="1:7" ht="15.6" thickTop="1" thickBot="1" x14ac:dyDescent="0.35">
      <c r="A8" s="24">
        <v>507</v>
      </c>
      <c r="B8" s="25" t="s">
        <v>43</v>
      </c>
      <c r="C8" s="24" t="s">
        <v>46</v>
      </c>
      <c r="D8" s="26">
        <v>31000</v>
      </c>
      <c r="E8" s="27">
        <v>46084</v>
      </c>
      <c r="F8" s="28">
        <v>0.5</v>
      </c>
      <c r="G8" s="26">
        <f>31000*50/100</f>
        <v>15500</v>
      </c>
    </row>
    <row r="9" spans="1:7" ht="15.6" thickTop="1" thickBot="1" x14ac:dyDescent="0.35">
      <c r="A9" s="24">
        <v>508</v>
      </c>
      <c r="B9" s="25" t="s">
        <v>5</v>
      </c>
      <c r="C9" s="24" t="s">
        <v>47</v>
      </c>
      <c r="D9" s="26">
        <v>32000</v>
      </c>
      <c r="E9" s="27">
        <v>46085</v>
      </c>
      <c r="F9" s="28">
        <v>0.3</v>
      </c>
      <c r="G9" s="26">
        <f>32000*30/100</f>
        <v>9600</v>
      </c>
    </row>
    <row r="10" spans="1:7" ht="15.6" thickTop="1" thickBot="1" x14ac:dyDescent="0.35">
      <c r="A10" s="24">
        <v>509</v>
      </c>
      <c r="B10" s="25" t="s">
        <v>44</v>
      </c>
      <c r="C10" s="24" t="s">
        <v>48</v>
      </c>
      <c r="D10" s="26">
        <v>33000</v>
      </c>
      <c r="E10" s="27">
        <v>46086</v>
      </c>
      <c r="F10" s="28">
        <v>0.5</v>
      </c>
      <c r="G10" s="26">
        <f>33000*50/100</f>
        <v>16500</v>
      </c>
    </row>
    <row r="11" spans="1:7" ht="15.6" thickTop="1" thickBot="1" x14ac:dyDescent="0.35">
      <c r="A11" s="24">
        <v>510</v>
      </c>
      <c r="B11" s="25" t="s">
        <v>45</v>
      </c>
      <c r="C11" s="24" t="s">
        <v>46</v>
      </c>
      <c r="D11" s="26">
        <v>34000</v>
      </c>
      <c r="E11" s="27">
        <v>46087</v>
      </c>
      <c r="F11" s="28">
        <v>0.1</v>
      </c>
      <c r="G11" s="26">
        <f>34000*10/100</f>
        <v>3400</v>
      </c>
    </row>
    <row r="12" spans="1:7" ht="15" thickTop="1" x14ac:dyDescent="0.3"/>
    <row r="15" spans="1:7" x14ac:dyDescent="0.3">
      <c r="C15" s="29" t="s">
        <v>37</v>
      </c>
      <c r="D15" s="29" t="s">
        <v>49</v>
      </c>
    </row>
    <row r="16" spans="1:7" x14ac:dyDescent="0.3">
      <c r="C16" t="s">
        <v>50</v>
      </c>
      <c r="D16" s="15" t="s">
        <v>51</v>
      </c>
    </row>
    <row r="17" spans="3:11" x14ac:dyDescent="0.3">
      <c r="C17" t="s">
        <v>32</v>
      </c>
      <c r="D17" s="15">
        <f>SUM(D2:D11)</f>
        <v>295000</v>
      </c>
    </row>
    <row r="18" spans="3:11" x14ac:dyDescent="0.3">
      <c r="C18" t="s">
        <v>33</v>
      </c>
      <c r="D18" s="15">
        <f>AVERAGE(D2:D11)</f>
        <v>29500</v>
      </c>
    </row>
    <row r="19" spans="3:11" x14ac:dyDescent="0.3">
      <c r="C19" t="s">
        <v>34</v>
      </c>
      <c r="D19">
        <f>COUNT(D2:D11)</f>
        <v>10</v>
      </c>
    </row>
    <row r="20" spans="3:11" x14ac:dyDescent="0.3">
      <c r="C20" t="s">
        <v>35</v>
      </c>
      <c r="D20" s="15">
        <f>MAX(D2:D11)</f>
        <v>34000</v>
      </c>
    </row>
    <row r="21" spans="3:11" x14ac:dyDescent="0.3">
      <c r="C21" t="s">
        <v>36</v>
      </c>
      <c r="D21" s="15">
        <f>MIN(D2:D11)</f>
        <v>25000</v>
      </c>
    </row>
    <row r="22" spans="3:11" x14ac:dyDescent="0.3">
      <c r="K22" s="30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</vt:lpstr>
      <vt:lpstr>DAY2</vt:lpstr>
      <vt:lpstr>SheetNew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Vishwakarma</dc:creator>
  <cp:lastModifiedBy>Abhishek Vishwakarma</cp:lastModifiedBy>
  <dcterms:created xsi:type="dcterms:W3CDTF">2026-06-25T10:32:47Z</dcterms:created>
  <dcterms:modified xsi:type="dcterms:W3CDTF">2026-06-26T12:33:07Z</dcterms:modified>
</cp:coreProperties>
</file>